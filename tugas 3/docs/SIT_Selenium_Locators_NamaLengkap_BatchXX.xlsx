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T" sheetId="1" state="visible" r:id="rId3"/>
    <sheet name="Ringkasan" sheetId="2" state="visible" r:id="rId4"/>
  </sheets>
  <definedNames>
    <definedName function="false" hidden="true" localSheetId="0" name="_xlnm._FilterDatabase" vbProcedure="false">SIT!$A$5:$J$21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<sst xmlns="http://schemas.openxmlformats.org/spreadsheetml/2006/main" count="180" uniqueCount="128">
  <si>
    <t xml:space="preserve">SIT - Selenium 4 Advanced Locators &amp; Dynamic XPath (Hari 15)</t>
  </si>
  <si>
    <t xml:space="preserve">Aplikasi uji: src/main/resources/webapp/locator_practice.html | Framework: Selenium 4.51.0 + TestNG 7.12.0 | Eksekusi: mvn clean test (16 tests, 0 failure)</t>
  </si>
  <si>
    <t xml:space="preserve">Isi nama lengkap Anda di kolom J (sel berwarna kuning) sebelum dikumpulkan.</t>
  </si>
  <si>
    <t xml:space="preserve">Test Case ID</t>
  </si>
  <si>
    <t xml:space="preserve">Test Scenario / Module</t>
  </si>
  <si>
    <t xml:space="preserve">Test Description</t>
  </si>
  <si>
    <t xml:space="preserve">Test Steps</t>
  </si>
  <si>
    <t xml:space="preserve">Locator Strategy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</si>
  <si>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</si>
  <si>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</si>
  <si>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</si>
  <si>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</si>
  <si>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Tester &amp; Execution Date</t>
  </si>
  <si>
    <t xml:space="preserve">TC-SIT-LOC-001</t>
  </si>
  <si>
    <t xml:space="preserve">TC-01 Basic Locators - Header Halaman</t>
  </si>
  <si>
    <t xml:space="preserve">Validasi elemen judul halaman via By.id</t>
  </si>
  <si>
    <t xml:space="preserve">1. Buka locator_practice.html di Chrome (headless)
2. Cari elemen judul dengan id 'page-title'
3. Ambil teks elemen</t>
  </si>
  <si>
    <t xml:space="preserve">By.id("page-title")</t>
  </si>
  <si>
    <t xml:space="preserve">id: page-title</t>
  </si>
  <si>
    <t xml:space="preserve">Teks judul = "Latihan Locator Selenium"</t>
  </si>
  <si>
    <t xml:space="preserve">PASS</t>
  </si>
  <si>
    <t xml:space="preserve">[Nama Lengkap] - 25 Okt 2026</t>
  </si>
  <si>
    <t xml:space="preserve">TC-SIT-LOC-002</t>
  </si>
  <si>
    <t xml:space="preserve">TC-01 Basic Locators - Formulir Pengguna</t>
  </si>
  <si>
    <t xml:space="preserve">Validasi kolom nama lengkap via By.name</t>
  </si>
  <si>
    <t xml:space="preserve">1. Buka locator_practice.html di Chrome (headless)
2. Cari input dengan name 'fullName'
3. Baca atribut id</t>
  </si>
  <si>
    <t xml:space="preserve">By.name("fullName")</t>
  </si>
  <si>
    <t xml:space="preserve">name: fullName</t>
  </si>
  <si>
    <t xml:space="preserve">Atribut id = "full-name"</t>
  </si>
  <si>
    <t xml:space="preserve">TC-SIT-LOC-003</t>
  </si>
  <si>
    <t xml:space="preserve">TC-02 Class &amp; Tag - Header Halaman</t>
  </si>
  <si>
    <t xml:space="preserve">Validasi judul via By.className (identifikasi visual kelas)</t>
  </si>
  <si>
    <t xml:space="preserve">1. Buka locator_practice.html di Chrome (headless)
2. Cari elemen berkelas 'main-title'
3. Baca atribut data-role</t>
  </si>
  <si>
    <t xml:space="preserve">By.className("main-title")</t>
  </si>
  <si>
    <t xml:space="preserve">class: main-title</t>
  </si>
  <si>
    <t xml:space="preserve">Atribut data-role = "heading"</t>
  </si>
  <si>
    <t xml:space="preserve">TC-SIT-LOC-004</t>
  </si>
  <si>
    <t xml:space="preserve">Validasi elemen heading via By.tagName</t>
  </si>
  <si>
    <t xml:space="preserve">1. Buka locator_practice.html di Chrome (headless)
2. Cari elemen dengan tag 'h1'
3. Periksa elemen tampil di halaman</t>
  </si>
  <si>
    <t xml:space="preserve">By.tagName("h1")</t>
  </si>
  <si>
    <t xml:space="preserve">tag: h1</t>
  </si>
  <si>
    <t xml:space="preserve">Elemen h1 ditemukan dan isDisplayed() = true</t>
  </si>
  <si>
    <t xml:space="preserve">TC-SIT-LOC-005</t>
  </si>
  <si>
    <t xml:space="preserve">TC-03 Hyperlink Navigation - Navigasi Utama</t>
  </si>
  <si>
    <t xml:space="preserve">Validasi tautan dokumentasi via By.linkText</t>
  </si>
  <si>
    <t xml:space="preserve">1. Buka locator_practice.html di Chrome (headless)
2. Cari tautan dengan teks persis 'Dokumentasi Selenium'
3. Baca atribut href</t>
  </si>
  <si>
    <t xml:space="preserve">By.linkText("Dokumentasi Selenium")</t>
  </si>
  <si>
    <t xml:space="preserve">Link text: Dokumentasi Selenium</t>
  </si>
  <si>
    <t xml:space="preserve">Fragmen href = "documentation"</t>
  </si>
  <si>
    <t xml:space="preserve">TC-SIT-LOC-006</t>
  </si>
  <si>
    <t xml:space="preserve">Validasi tautan bantuan via By.partialLinkText</t>
  </si>
  <si>
    <t xml:space="preserve">1. Buka locator_practice.html di Chrome (headless)
2. Cari tautan yang memuat teks 'Bantuan'
3. Baca atribut id</t>
  </si>
  <si>
    <t xml:space="preserve">By.partialLinkText("Bantuan")</t>
  </si>
  <si>
    <t xml:space="preserve">Partial link text: Bantuan</t>
  </si>
  <si>
    <t xml:space="preserve">Atribut id = "help-link"</t>
  </si>
  <si>
    <t xml:space="preserve">TC-SIT-LOC-007</t>
  </si>
  <si>
    <t xml:space="preserve">Validasi kolom email via By.cssSelector berbasis atribut</t>
  </si>
  <si>
    <t xml:space="preserve">1. Buka locator_practice.html di Chrome (headless)
2. Cari input dengan atribut data-purpose 'customer-email'
3. Baca atribut name</t>
  </si>
  <si>
    <t xml:space="preserve">By.cssSelector("input[data-purpose='customer-email']")</t>
  </si>
  <si>
    <t xml:space="preserve">data-purpose: customer-email</t>
  </si>
  <si>
    <t xml:space="preserve">Atribut name = "userEmail"</t>
  </si>
  <si>
    <t xml:space="preserve">TC-SIT-LOC-008</t>
  </si>
  <si>
    <t xml:space="preserve">Validasi tombol kirim via By.xpath</t>
  </si>
  <si>
    <t xml:space="preserve">1. Buka locator_practice.html di Chrome (headless)
2. Cari button dengan id 'submit-button'
3. Ambil teks tombol</t>
  </si>
  <si>
    <t xml:space="preserve">By.xpath("//button[@id='submit-button']")</t>
  </si>
  <si>
    <t xml:space="preserve">id: submit-button</t>
  </si>
  <si>
    <t xml:space="preserve">Teks tombol = "Kirim Formulir"</t>
  </si>
  <si>
    <t xml:space="preserve">TC-SIT-LOC-009</t>
  </si>
  <si>
    <t xml:space="preserve">TC-04 Advanced CSS Substrings - Formulir Pengguna</t>
  </si>
  <si>
    <t xml:space="preserve">Validasi matcher prefix (^=), suffix ($=), dan contains (*=) pada atribut name</t>
  </si>
  <si>
    <t xml:space="preserve">1. Buka locator_practice.html di Chrome (headless)
2. Cari input dengan name diawali 'user'
3. Cari input dengan name berakhiran 'Email'
4. Cari input dengan name memuat 'serEma'
5. Baca atribut id ketiganya</t>
  </si>
  <si>
    <t xml:space="preserve">By.cssSelector("input[name^='user']")
By.cssSelector("input[name$='Email']")
By.cssSelector("input[name*='serEma']")</t>
  </si>
  <si>
    <t xml:space="preserve">name: userEmail (prefix "user", suffix "Email", substring "serEma")</t>
  </si>
  <si>
    <t xml:space="preserve">Ketiga locator menemukan elemen yang sama, id = "user-email"</t>
  </si>
  <si>
    <t xml:space="preserve">TC-SIT-LOC-010</t>
  </si>
  <si>
    <t xml:space="preserve">TC-05 CSS Combinators - Formulir &amp; Panel Profil</t>
  </si>
  <si>
    <t xml:space="preserve">Validasi direct child combinator (&gt;)</t>
  </si>
  <si>
    <t xml:space="preserve">1. Buka locator_practice.html di Chrome (headless)
2. Cari #full-name sebagai anak langsung #registration-form
3. Cari semua .value anak langsung #profile-panel
4. Periksa jumlah dan teks</t>
  </si>
  <si>
    <t xml:space="preserve">By.cssSelector("#registration-form &gt; #full-name")
By.cssSelector("#profile-panel &gt; .value")</t>
  </si>
  <si>
    <t xml:space="preserve">Form: registration-form; Panel: profile-panel</t>
  </si>
  <si>
    <t xml:space="preserve">name input = "fullName"; jumlah .value = 1 dengan teks "Andi"</t>
  </si>
  <si>
    <t xml:space="preserve">TC-SIT-LOC-011</t>
  </si>
  <si>
    <t xml:space="preserve">Validasi adjacent sibling combinator (+)</t>
  </si>
  <si>
    <t xml:space="preserve">1. Buka locator_practice.html di Chrome (headless)
2. Cari input tepat setelah label for='full-name'
3. Cari paragraf tepat setelah #profile-heading
4. Periksa id dan teks</t>
  </si>
  <si>
    <t xml:space="preserve">By.cssSelector("label[for='full-name'] + input")
By.cssSelector("#profile-heading + p")</t>
  </si>
  <si>
    <t xml:space="preserve">label for: full-name; heading: profile-heading</t>
  </si>
  <si>
    <t xml:space="preserve">id input = "full-name"; teks paragraf = "Ringkasan profil Andi"</t>
  </si>
  <si>
    <t xml:space="preserve">TC-SIT-LOC-012</t>
  </si>
  <si>
    <t xml:space="preserve">TC-05 CSS Pseudo-Classes - Daftar Skill &amp; Radio</t>
  </si>
  <si>
    <t xml:space="preserve">Validasi pseudo-class :nth-child, :first-child, :last-child, :checked, dan :not</t>
  </si>
  <si>
    <t xml:space="preserve">1. Buka locator_practice.html di Chrome (headless)
2. Ambil item ke-2, pertama, dan terakhir dari #skill-list
3. Ambil radio gender yang :checked
4. Hitung item skill yang bukan data-level 'advanced'</t>
  </si>
  <si>
    <t xml:space="preserve">By.cssSelector("#skill-list li:nth-child(2)")
By.cssSelector("#skill-list li:first-child")
By.cssSelector("#skill-list li:last-child")
By.cssSelector("input[name='gender']:checked")
By.cssSelector("#skill-list li:not([data-level='advanced'])")</t>
  </si>
  <si>
    <t xml:space="preserve">Daftar skill: ID, Name, CSS Selector, XPath; gender default: Male</t>
  </si>
  <si>
    <t xml:space="preserve">Item ke-2 = "Name"; pertama = "ID"; terakhir = "XPath"; radio checked value = "Male"; jumlah item basic = 2</t>
  </si>
  <si>
    <t xml:space="preserve">TC-SIT-LOC-013</t>
  </si>
  <si>
    <t xml:space="preserve">TC-06 Dynamic XPath Text - Info Sesi</t>
  </si>
  <si>
    <t xml:space="preserve">Validasi XPath teks dinamis dengan contains(), starts-with(), dan normalize-space()</t>
  </si>
  <si>
    <t xml:space="preserve">1. Buka locator_practice.html di Chrome (headless)
2. Cari span ber-id memuat 'session' dengan teks diawali 'SESSION-'
3. Cari span yang memuat teks 'Selamat datang'
4. Periksa teks kedua elemen</t>
  </si>
  <si>
    <t xml:space="preserve">By.xpath("//span[contains(@id, 'session') and starts-with(normalize-space(), 'SESSION-')]")
By.xpath("//span[contains(normalize-space(), 'Selamat datang')]")</t>
  </si>
  <si>
    <t xml:space="preserve">Prefix: SESSION-; Teks: Selamat datang</t>
  </si>
  <si>
    <t xml:space="preserve">Teks sesi = "SESSION-2026-001"; teks sambutan berakhiran "Andi"</t>
  </si>
  <si>
    <t xml:space="preserve">TC-SIT-LOC-014</t>
  </si>
  <si>
    <t xml:space="preserve">TC-06 Dynamic XPath Boolean - Formulir &amp; Tabel Pengguna</t>
  </si>
  <si>
    <t xml:space="preserve">Validasi XPath operator boolean and / or</t>
  </si>
  <si>
    <t xml:space="preserve">1. Buka locator_practice.html di Chrome (headless)
2. Cari radio name 'gender' dan value 'Male'
3. Cari sel peran yang teksnya 'Admin' atau 'Manager'
4. Periksa status terpilih dan teks</t>
  </si>
  <si>
    <t xml:space="preserve">By.xpath("//input[@name='gender' and @value='Male']")
By.xpath("//td[@class='user-role' and (text()='Admin' or text()='Manager')]")</t>
  </si>
  <si>
    <t xml:space="preserve">gender: Male; peran: Admin atau Manager</t>
  </si>
  <si>
    <t xml:space="preserve">Radio Male isSelected() = true; sel peran pertama yang cocok = "Admin"</t>
  </si>
  <si>
    <t xml:space="preserve">TC-SIT-LOC-015</t>
  </si>
  <si>
    <t xml:space="preserve">TC-07 XPath Axes Horizontal - Tabel Pengguna Dinamis</t>
  </si>
  <si>
    <t xml:space="preserve">Validasi pengambilan peran dan status pengguna 'Andi' via XPath following-sibling</t>
  </si>
  <si>
    <t xml:space="preserve">1. Buka locator_practice.html di Chrome (headless)
2. Cari sel nama 'Andi'
3. Ambil sel peran di sebelah kanannya
4. Ambil badge status pada sel status di sebelah kanannya</t>
  </si>
  <si>
    <t xml:space="preserve">By.xpath("//td[normalize-space()='Andi']/following-sibling::td[@class='user-role']")
By.xpath("//td[normalize-space()='Andi']/following-sibling::td[@class='user-status']/span")</t>
  </si>
  <si>
    <t xml:space="preserve">Nama pengguna: "Andi"</t>
  </si>
  <si>
    <t xml:space="preserve">Peran = "Admin"; status = "Aktif"</t>
  </si>
  <si>
    <t xml:space="preserve">TC-SIT-LOC-016</t>
  </si>
  <si>
    <t xml:space="preserve">TC-08 XPath Axes Vertical - Tabel Pengguna Dinamis</t>
  </si>
  <si>
    <t xml:space="preserve">Validasi navigasi ke atas via XPath ancestor untuk menemukan baris yang tepat (baris Andi, tombol Ubah Budi, status baris 103)</t>
  </si>
  <si>
    <t xml:space="preserve">1. Buka locator_practice.html di Chrome (headless)
2. Cari sel nama 'Andi', naik ke baris induk (ancestor::tr), baca data-user-id
3. Cari tombol data-action 'edit' pada baris pengguna 'Budi'
4. Cari badge status pada baris data-user-id '103'
5. Periksa nilai dan teks ketiganya</t>
  </si>
  <si>
    <t xml:space="preserve">By.xpath("//td[normalize-space()='Andi']/ancestor::tr")
By.xpath("//button[@data-action='edit' and ancestor::tr[td[normalize-space()='Budi']]]")
By.xpath("//span[ancestor::tr[@data-user-id='103'] and contains(@class, 'status-badge')]")</t>
  </si>
  <si>
    <t xml:space="preserve">Nama: "Andi" dan "Budi"; data-user-id: 103</t>
  </si>
  <si>
    <t xml:space="preserve">data-user-id baris Andi = "101"; teks tombol = "Ubah Budi"; status baris 103 = "Aktif"</t>
  </si>
  <si>
    <t xml:space="preserve">Metrik</t>
  </si>
  <si>
    <t xml:space="preserve">Nilai</t>
  </si>
  <si>
    <t xml:space="preserve">Total Test Case</t>
  </si>
  <si>
    <t xml:space="preserve">FAIL</t>
  </si>
  <si>
    <t xml:space="preserve">Pass Rate</t>
  </si>
  <si>
    <t xml:space="preserve">Pass Rate dihitung otomatis dari kolom Status di sheet SIT.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</si>
</sst>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52"/>
    <col collapsed="false" customWidth="true" hidden="false" outlineLevel="0" max="5" min="5" style="0" width="62"/>
    <col collapsed="false" customWidth="true" hidden="false" outlineLevel="0" max="6" min="6" style="0" width="32"/>
    <col collapsed="false" customWidth="true" hidden="false" outlineLevel="0" max="8" min="7" style="0" width="40"/>
    <col collapsed="false" customWidth="true" hidden="false" outlineLevel="0" max="9" min="9" style="0" width="10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35.05" hidden="false" customHeight="false" outlineLevel="0" collapsed="false">
      <c r="A6" s="5" t="s">
        <v>13</v>
      </c>
      <c r="B6" s="6" t="s">
        <v>14</v>
      </c>
      <c r="C6" s="6" t="s">
        <v>15</v>
      </c>
      <c r="D6" s="6" t="s">
        <v>16</v>
      </c>
      <c r="E6" s="6" t="s">
        <v>17</v>
      </c>
      <c r="F6" s="6" t="s">
        <v>18</v>
      </c>
      <c r="G6" s="6" t="s">
        <v>19</v>
      </c>
      <c r="H6" s="6" t="s">
        <v>19</v>
      </c>
      <c r="I6" s="5" t="s">
        <v>20</v>
      </c>
      <c r="J6" s="7" t="s">
        <v>21</v>
      </c>
    </row>
    <row r="7" customFormat="false" ht="35.05" hidden="false" customHeight="false" outlineLevel="0" collapsed="false">
      <c r="A7" s="5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27</v>
      </c>
      <c r="G7" s="6" t="s">
        <v>28</v>
      </c>
      <c r="H7" s="6" t="s">
        <v>28</v>
      </c>
      <c r="I7" s="5" t="s">
        <v>20</v>
      </c>
      <c r="J7" s="7" t="s">
        <v>21</v>
      </c>
    </row>
    <row r="8" customFormat="false" ht="35.05" hidden="false" customHeight="false" outlineLevel="0" collapsed="false">
      <c r="A8" s="5" t="s">
        <v>29</v>
      </c>
      <c r="B8" s="6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35</v>
      </c>
      <c r="I8" s="5" t="s">
        <v>20</v>
      </c>
      <c r="J8" s="7" t="s">
        <v>21</v>
      </c>
    </row>
    <row r="9" customFormat="false" ht="35.05" hidden="false" customHeight="false" outlineLevel="0" collapsed="false">
      <c r="A9" s="5" t="s">
        <v>36</v>
      </c>
      <c r="B9" s="6" t="s">
        <v>30</v>
      </c>
      <c r="C9" s="6" t="s">
        <v>37</v>
      </c>
      <c r="D9" s="6" t="s">
        <v>38</v>
      </c>
      <c r="E9" s="6" t="s">
        <v>39</v>
      </c>
      <c r="F9" s="6" t="s">
        <v>40</v>
      </c>
      <c r="G9" s="6" t="s">
        <v>41</v>
      </c>
      <c r="H9" s="6" t="s">
        <v>41</v>
      </c>
      <c r="I9" s="5" t="s">
        <v>20</v>
      </c>
      <c r="J9" s="7" t="s">
        <v>21</v>
      </c>
    </row>
    <row r="10" customFormat="false" ht="35.05" hidden="false" customHeight="false" outlineLevel="0" collapsed="false">
      <c r="A10" s="5" t="s">
        <v>42</v>
      </c>
      <c r="B10" s="6" t="s">
        <v>43</v>
      </c>
      <c r="C10" s="6" t="s">
        <v>44</v>
      </c>
      <c r="D10" s="6" t="s">
        <v>45</v>
      </c>
      <c r="E10" s="6" t="s">
        <v>46</v>
      </c>
      <c r="F10" s="6" t="s">
        <v>47</v>
      </c>
      <c r="G10" s="6" t="s">
        <v>48</v>
      </c>
      <c r="H10" s="6" t="s">
        <v>48</v>
      </c>
      <c r="I10" s="5" t="s">
        <v>20</v>
      </c>
      <c r="J10" s="7" t="s">
        <v>21</v>
      </c>
    </row>
    <row r="11" customFormat="false" ht="35.05" hidden="false" customHeight="false" outlineLevel="0" collapsed="false">
      <c r="A11" s="5" t="s">
        <v>49</v>
      </c>
      <c r="B11" s="6" t="s">
        <v>43</v>
      </c>
      <c r="C11" s="6" t="s">
        <v>50</v>
      </c>
      <c r="D11" s="6" t="s">
        <v>51</v>
      </c>
      <c r="E11" s="6" t="s">
        <v>52</v>
      </c>
      <c r="F11" s="6" t="s">
        <v>53</v>
      </c>
      <c r="G11" s="6" t="s">
        <v>54</v>
      </c>
      <c r="H11" s="6" t="s">
        <v>54</v>
      </c>
      <c r="I11" s="5" t="s">
        <v>20</v>
      </c>
      <c r="J11" s="7" t="s">
        <v>21</v>
      </c>
    </row>
    <row r="12" customFormat="false" ht="35.05" hidden="false" customHeight="false" outlineLevel="0" collapsed="false">
      <c r="A12" s="5" t="s">
        <v>55</v>
      </c>
      <c r="B12" s="6" t="s">
        <v>23</v>
      </c>
      <c r="C12" s="6" t="s">
        <v>56</v>
      </c>
      <c r="D12" s="6" t="s">
        <v>57</v>
      </c>
      <c r="E12" s="6" t="s">
        <v>58</v>
      </c>
      <c r="F12" s="6" t="s">
        <v>59</v>
      </c>
      <c r="G12" s="6" t="s">
        <v>60</v>
      </c>
      <c r="H12" s="6" t="s">
        <v>60</v>
      </c>
      <c r="I12" s="5" t="s">
        <v>20</v>
      </c>
      <c r="J12" s="7" t="s">
        <v>21</v>
      </c>
    </row>
    <row r="13" customFormat="false" ht="35.05" hidden="false" customHeight="false" outlineLevel="0" collapsed="false">
      <c r="A13" s="5" t="s">
        <v>61</v>
      </c>
      <c r="B13" s="6" t="s">
        <v>23</v>
      </c>
      <c r="C13" s="6" t="s">
        <v>62</v>
      </c>
      <c r="D13" s="6" t="s">
        <v>63</v>
      </c>
      <c r="E13" s="6" t="s">
        <v>64</v>
      </c>
      <c r="F13" s="6" t="s">
        <v>65</v>
      </c>
      <c r="G13" s="6" t="s">
        <v>66</v>
      </c>
      <c r="H13" s="6" t="s">
        <v>66</v>
      </c>
      <c r="I13" s="5" t="s">
        <v>20</v>
      </c>
      <c r="J13" s="7" t="s">
        <v>21</v>
      </c>
    </row>
    <row r="14" customFormat="false" ht="57.45" hidden="false" customHeight="false" outlineLevel="0" collapsed="false">
      <c r="A14" s="5" t="s">
        <v>67</v>
      </c>
      <c r="B14" s="6" t="s">
        <v>68</v>
      </c>
      <c r="C14" s="6" t="s">
        <v>69</v>
      </c>
      <c r="D14" s="6" t="s">
        <v>70</v>
      </c>
      <c r="E14" s="6" t="s">
        <v>71</v>
      </c>
      <c r="F14" s="6" t="s">
        <v>72</v>
      </c>
      <c r="G14" s="6" t="s">
        <v>73</v>
      </c>
      <c r="H14" s="6" t="s">
        <v>73</v>
      </c>
      <c r="I14" s="5" t="s">
        <v>20</v>
      </c>
      <c r="J14" s="7" t="s">
        <v>21</v>
      </c>
    </row>
    <row r="15" customFormat="false" ht="46.25" hidden="false" customHeight="false" outlineLevel="0" collapsed="false">
      <c r="A15" s="5" t="s">
        <v>74</v>
      </c>
      <c r="B15" s="6" t="s">
        <v>75</v>
      </c>
      <c r="C15" s="6" t="s">
        <v>76</v>
      </c>
      <c r="D15" s="6" t="s">
        <v>77</v>
      </c>
      <c r="E15" s="6" t="s">
        <v>78</v>
      </c>
      <c r="F15" s="6" t="s">
        <v>79</v>
      </c>
      <c r="G15" s="6" t="s">
        <v>80</v>
      </c>
      <c r="H15" s="6" t="s">
        <v>80</v>
      </c>
      <c r="I15" s="5" t="s">
        <v>20</v>
      </c>
      <c r="J15" s="7" t="s">
        <v>21</v>
      </c>
    </row>
    <row r="16" customFormat="false" ht="46.25" hidden="false" customHeight="false" outlineLevel="0" collapsed="false">
      <c r="A16" s="5" t="s">
        <v>81</v>
      </c>
      <c r="B16" s="6" t="s">
        <v>75</v>
      </c>
      <c r="C16" s="6" t="s">
        <v>82</v>
      </c>
      <c r="D16" s="6" t="s">
        <v>83</v>
      </c>
      <c r="E16" s="6" t="s">
        <v>84</v>
      </c>
      <c r="F16" s="6" t="s">
        <v>85</v>
      </c>
      <c r="G16" s="6" t="s">
        <v>86</v>
      </c>
      <c r="H16" s="6" t="s">
        <v>86</v>
      </c>
      <c r="I16" s="5" t="s">
        <v>20</v>
      </c>
      <c r="J16" s="7" t="s">
        <v>21</v>
      </c>
    </row>
    <row r="17" customFormat="false" ht="57.45" hidden="false" customHeight="false" outlineLevel="0" collapsed="false">
      <c r="A17" s="5" t="s">
        <v>87</v>
      </c>
      <c r="B17" s="6" t="s">
        <v>88</v>
      </c>
      <c r="C17" s="6" t="s">
        <v>89</v>
      </c>
      <c r="D17" s="6" t="s">
        <v>90</v>
      </c>
      <c r="E17" s="6" t="s">
        <v>91</v>
      </c>
      <c r="F17" s="6" t="s">
        <v>92</v>
      </c>
      <c r="G17" s="6" t="s">
        <v>93</v>
      </c>
      <c r="H17" s="6" t="s">
        <v>93</v>
      </c>
      <c r="I17" s="5" t="s">
        <v>20</v>
      </c>
      <c r="J17" s="7" t="s">
        <v>21</v>
      </c>
    </row>
    <row r="18" customFormat="false" ht="57.45" hidden="false" customHeight="false" outlineLevel="0" collapsed="false">
      <c r="A18" s="5" t="s">
        <v>94</v>
      </c>
      <c r="B18" s="6" t="s">
        <v>95</v>
      </c>
      <c r="C18" s="6" t="s">
        <v>96</v>
      </c>
      <c r="D18" s="6" t="s">
        <v>97</v>
      </c>
      <c r="E18" s="6" t="s">
        <v>98</v>
      </c>
      <c r="F18" s="6" t="s">
        <v>99</v>
      </c>
      <c r="G18" s="6" t="s">
        <v>100</v>
      </c>
      <c r="H18" s="6" t="s">
        <v>100</v>
      </c>
      <c r="I18" s="5" t="s">
        <v>20</v>
      </c>
      <c r="J18" s="7" t="s">
        <v>21</v>
      </c>
    </row>
    <row r="19" customFormat="false" ht="46.25" hidden="false" customHeight="false" outlineLevel="0" collapsed="false">
      <c r="A19" s="5" t="s">
        <v>101</v>
      </c>
      <c r="B19" s="6" t="s">
        <v>102</v>
      </c>
      <c r="C19" s="6" t="s">
        <v>103</v>
      </c>
      <c r="D19" s="6" t="s">
        <v>104</v>
      </c>
      <c r="E19" s="6" t="s">
        <v>105</v>
      </c>
      <c r="F19" s="6" t="s">
        <v>106</v>
      </c>
      <c r="G19" s="6" t="s">
        <v>107</v>
      </c>
      <c r="H19" s="6" t="s">
        <v>107</v>
      </c>
      <c r="I19" s="5" t="s">
        <v>20</v>
      </c>
      <c r="J19" s="7" t="s">
        <v>21</v>
      </c>
    </row>
    <row r="20" customFormat="false" ht="46.25" hidden="false" customHeight="false" outlineLevel="0" collapsed="false">
      <c r="A20" s="5" t="s">
        <v>108</v>
      </c>
      <c r="B20" s="6" t="s">
        <v>109</v>
      </c>
      <c r="C20" s="6" t="s">
        <v>110</v>
      </c>
      <c r="D20" s="6" t="s">
        <v>111</v>
      </c>
      <c r="E20" s="6" t="s">
        <v>112</v>
      </c>
      <c r="F20" s="6" t="s">
        <v>113</v>
      </c>
      <c r="G20" s="6" t="s">
        <v>114</v>
      </c>
      <c r="H20" s="6" t="s">
        <v>114</v>
      </c>
      <c r="I20" s="5" t="s">
        <v>20</v>
      </c>
      <c r="J20" s="7" t="s">
        <v>21</v>
      </c>
    </row>
    <row r="21" customFormat="false" ht="68.65" hidden="false" customHeight="false" outlineLevel="0" collapsed="false">
      <c r="A21" s="5" t="s">
        <v>115</v>
      </c>
      <c r="B21" s="6" t="s">
        <v>116</v>
      </c>
      <c r="C21" s="6" t="s">
        <v>117</v>
      </c>
      <c r="D21" s="6" t="s">
        <v>118</v>
      </c>
      <c r="E21" s="6" t="s">
        <v>119</v>
      </c>
      <c r="F21" s="6" t="s">
        <v>120</v>
      </c>
      <c r="G21" s="6" t="s">
        <v>121</v>
      </c>
      <c r="H21" s="6" t="s">
        <v>121</v>
      </c>
      <c r="I21" s="5" t="s">
        <v>20</v>
      </c>
      <c r="J21" s="7" t="s">
        <v>21</v>
      </c>
    </row>
  </sheetData>
  <autoFilter ref="A5:J21"/>
  <conditionalFormatting sqref="I6:I21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</conditionalFormatting>
  <dataValidations count="1">
    <dataValidation allowBlank="false" errorStyle="stop" operator="between" showDropDown="false" showErrorMessage="false" showInputMessage="false" sqref="I6:I21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8" t="s">
        <v>122</v>
      </c>
      <c r="B1" s="8" t="s">
        <v>123</v>
      </c>
    </row>
    <row r="2" customFormat="false" ht="15" hidden="false" customHeight="false" outlineLevel="0" collapsed="false">
      <c r="A2" s="9" t="s">
        <v>124</v>
      </c>
      <c r="B2" s="10" t="n">
        <f aca="false">COUNTA(SIT!A6:A21)</f>
        <v>16</v>
      </c>
    </row>
    <row r="3" customFormat="false" ht="15" hidden="false" customHeight="false" outlineLevel="0" collapsed="false">
      <c r="A3" s="9" t="s">
        <v>20</v>
      </c>
      <c r="B3" s="10" t="n">
        <f aca="false">COUNTIF(SIT!I6:I21,"PASS")</f>
        <v>16</v>
      </c>
    </row>
    <row r="4" customFormat="false" ht="15" hidden="false" customHeight="false" outlineLevel="0" collapsed="false">
      <c r="A4" s="9" t="s">
        <v>125</v>
      </c>
      <c r="B4" s="10" t="n">
        <f aca="false">COUNTIF(SIT!I6:I21,"FAIL")</f>
        <v>0</v>
      </c>
    </row>
    <row r="5" customFormat="false" ht="15" hidden="false" customHeight="false" outlineLevel="0" collapsed="false">
      <c r="A5" s="9" t="s">
        <v>126</v>
      </c>
      <c r="B5" s="11" t="n">
        <f aca="false">IF(B2=0,0,B3/B2)</f>
        <v>1</v>
      </c>
    </row>
    <row r="7" customFormat="false" ht="15" hidden="false" customHeight="false" outlineLevel="0" collapsed="false">
      <c r="A7" s="2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2026-10-25T13:55:49Z</dcterms:created>
  <dc:creator>openpyxl</dc:creator>
  <dc:description/>
  <dc:language>en-US</dc:language>
  <cp:lastModifiedBy/>
  <dcterms:modified xsi:type="dcterms:W3CDTF">2026-10-25T13:55:49Z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